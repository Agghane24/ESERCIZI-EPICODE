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eonardodipadova/Desktop/esercizi da fare epicode/"/>
    </mc:Choice>
  </mc:AlternateContent>
  <xr:revisionPtr revIDLastSave="0" documentId="13_ncr:1_{CCEF4022-7F3F-3847-93EF-810947D99CD8}" xr6:coauthVersionLast="47" xr6:coauthVersionMax="47" xr10:uidLastSave="{00000000-0000-0000-0000-000000000000}"/>
  <bookViews>
    <workbookView xWindow="0" yWindow="680" windowWidth="29400" windowHeight="16940" xr2:uid="{00000000-000D-0000-FFFF-FFFF00000000}"/>
  </bookViews>
  <sheets>
    <sheet name="Prodotti" sheetId="1" r:id="rId1"/>
    <sheet name="GRAFICI" sheetId="2" r:id="rId2"/>
  </sheets>
  <definedNames>
    <definedName name="_xlnm._FilterDatabase" localSheetId="1" hidden="1">GRAFICI!#REF!</definedName>
    <definedName name="_xlnm._FilterDatabase" localSheetId="0" hidden="1">Prodotti!$A$2:$A$11</definedName>
    <definedName name="_xlnm.Print_Area" localSheetId="0">Prodotti!$A$1:$E$11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3" i="2"/>
  <c r="B4" i="2"/>
  <c r="B5" i="2"/>
  <c r="B6" i="2"/>
  <c r="B3" i="2"/>
  <c r="E2" i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<sst xmlns="http://schemas.openxmlformats.org/spreadsheetml/2006/main" count="48" uniqueCount="28">
  <si>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</si>
  <si>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</si>
  <si>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</si>
  <si>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</si>
  <si>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</si>
  <si>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</si>
  <si>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</si>
  <si>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</si>
  <si>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</si>
  <si>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</si>
  <si>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</si>
  <si>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</si>
  <si>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</si>
  <si>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</si>
  <si>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</si>
  <si>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</si>
  <si>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</si>
  <si>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</si>
  <si>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</si>
  <si>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AZIENDA</t>
  </si>
  <si>
    <t>TOTALE AZIENDALE</t>
  </si>
  <si>
    <t>PRODOTTO</t>
  </si>
  <si>
    <t>TOTALE PRODOTTO</t>
  </si>
  <si>
    <t>Colonna1</t>
  </si>
  <si>
    <t>Colonna2</t>
  </si>
  <si>
    <t>Colonna3</t>
  </si>
  <si>
    <t>Colonna4</t>
  </si>
  <si>
    <t>Colonna5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</si>
</sst>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&quot;€&quot;"/>
    <numFmt numFmtId="165" formatCode="#,##0\ &quot;€&quot;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165" fontId="0" fillId="0" borderId="0" xfId="0" applyNumberFormat="1"/>
    <xf numFmtId="0" fontId="3" fillId="0" borderId="0" xfId="0" applyFont="1"/>
    <xf numFmtId="164" fontId="0" fillId="0" borderId="0" xfId="0" applyNumberFormat="1"/>
    <xf numFmtId="164" fontId="3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8" fontId="2" fillId="4" borderId="0" xfId="0" applyNumberFormat="1" applyFont="1" applyFill="1"/>
    <xf numFmtId="0" fontId="2" fillId="4" borderId="0" xfId="0" applyFont="1" applyFill="1"/>
    <xf numFmtId="165" fontId="0" fillId="5" borderId="0" xfId="0" applyNumberFormat="1" applyFill="1"/>
    <xf numFmtId="0" fontId="1" fillId="6" borderId="0" xfId="0" applyFont="1" applyFill="1"/>
    <xf numFmtId="165" fontId="0" fillId="7" borderId="0" xfId="0" applyNumberFormat="1" applyFill="1"/>
  </cellXfs>
  <cellStyles count="1">
    <cellStyle name="Normale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2" tint="-0.14999847407452621"/>
        </patternFill>
      </fill>
    </dxf>
    <dxf>
      <numFmt numFmtId="165" formatCode="#,##0\ &quot;€&quot;"/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numFmt numFmtId="165" formatCode="#,##0\ &quot;€&quot;"/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numFmt numFmtId="165" formatCode="#,##0\ &quot;€&quot;"/>
      <fill>
        <patternFill patternType="solid">
          <fgColor indexed="64"/>
          <bgColor theme="7" tint="0.59999389629810485"/>
        </patternFill>
      </fill>
    </dxf>
    <dxf>
      <numFmt numFmtId="165" formatCode="#,##0\ &quot;€&quot;"/>
      <fill>
        <patternFill patternType="solid">
          <fgColor indexed="64"/>
          <bgColor theme="4" tint="0.59999389629810485"/>
        </patternFill>
      </fill>
    </dxf>
    <dxf>
      <numFmt numFmtId="164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/>
                </a:solidFill>
              </a:rPr>
              <a:t>TOTALE SPESE PER AZIENDA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GRAFICI!$B$2</c:f>
              <c:strCache>
                <c:ptCount val="1"/>
                <c:pt idx="0">
                  <c:v>TOTALE AZIENDALE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GRAFICI!$A$3:$A$6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GRAFICI!$B$3:$B$6</c:f>
              <c:numCache>
                <c:formatCode>#,##0\ "€"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0-AB4A-8D90-3BEBE5E73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798905151"/>
        <c:axId val="798903807"/>
      </c:barChart>
      <c:catAx>
        <c:axId val="79890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98903807"/>
        <c:crosses val="autoZero"/>
        <c:auto val="1"/>
        <c:lblAlgn val="ctr"/>
        <c:lblOffset val="100"/>
        <c:noMultiLvlLbl val="0"/>
      </c:catAx>
      <c:valAx>
        <c:axId val="798903807"/>
        <c:scaling>
          <c:orientation val="minMax"/>
        </c:scaling>
        <c:delete val="0"/>
        <c:axPos val="l"/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9890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it-IT">
                <a:solidFill>
                  <a:schemeClr val="accent2"/>
                </a:solidFill>
              </a:rPr>
              <a:t>TOTALE SPESE PRODOTTO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20169102864801475"/>
          <c:y val="0.15460526315789475"/>
          <c:w val="0.70917343776176911"/>
          <c:h val="0.738947713772620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GRAFICI!$E$2</c:f>
              <c:strCache>
                <c:ptCount val="1"/>
                <c:pt idx="0">
                  <c:v>TOTALE PRODOTTO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GRAFICI!$D$3:$D$12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GRAFICI!$E$3:$E$12</c:f>
              <c:numCache>
                <c:formatCode>#,##0\ "€"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3-2042-B776-ADAAA4FD0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799816127"/>
        <c:axId val="799816575"/>
      </c:barChart>
      <c:catAx>
        <c:axId val="799816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99816575"/>
        <c:crosses val="autoZero"/>
        <c:auto val="1"/>
        <c:lblAlgn val="ctr"/>
        <c:lblOffset val="100"/>
        <c:noMultiLvlLbl val="0"/>
      </c:catAx>
      <c:valAx>
        <c:axId val="79981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9981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 SPESA PER PRODOTTO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GRAFICI!$E$2</c:f>
              <c:strCache>
                <c:ptCount val="1"/>
                <c:pt idx="0">
                  <c:v>TOTALE PRODOTTO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64-B34D-ABF1-27EF8C631A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E64-B34D-ABF1-27EF8C631A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64-B34D-ABF1-27EF8C631A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E64-B34D-ABF1-27EF8C631A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E64-B34D-ABF1-27EF8C631A5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E64-B34D-ABF1-27EF8C631A5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E64-B34D-ABF1-27EF8C631A5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E64-B34D-ABF1-27EF8C631A5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E64-B34D-ABF1-27EF8C631A5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5E64-B34D-ABF1-27EF8C631A5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E64-B34D-ABF1-27EF8C631A5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5E64-B34D-ABF1-27EF8C631A5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E64-B34D-ABF1-27EF8C631A5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5E64-B34D-ABF1-27EF8C631A5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E64-B34D-ABF1-27EF8C631A5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5E64-B34D-ABF1-27EF8C631A5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E64-B34D-ABF1-27EF8C631A5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5E64-B34D-ABF1-27EF8C631A5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5E64-B34D-ABF1-27EF8C631A5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5E64-B34D-ABF1-27EF8C631A5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GRAFICI!$D$3:$D$12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GRAFICI!$E$3:$E$12</c:f>
              <c:numCache>
                <c:formatCode>#,##0\ "€"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4-B34D-ABF1-27EF8C631A5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accent2"/>
                </a:solidFill>
              </a:rPr>
              <a:t>DISTRIBUZIONE SPESE PER AZIENDA</a:t>
            </a:r>
          </a:p>
        </c:rich>
      </c:tx>
      <c:layout>
        <c:manualLayout>
          <c:xMode val="edge"/>
          <c:yMode val="edge"/>
          <c:x val="0.13636307741129336"/>
          <c:y val="1.3453027423296226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2432432432432434E-2"/>
          <c:y val="0.23796296296296296"/>
          <c:w val="0.90645648010214919"/>
          <c:h val="0.64239327707354965"/>
        </c:manualLayout>
      </c:layout>
      <c:pie3DChart>
        <c:varyColors val="1"/>
        <c:ser>
          <c:idx val="0"/>
          <c:order val="0"/>
          <c:tx>
            <c:strRef>
              <c:f>GRAFICI!$B$2</c:f>
              <c:strCache>
                <c:ptCount val="1"/>
                <c:pt idx="0">
                  <c:v>TOTALE AZIENDALE</c:v>
                </c:pt>
              </c:strCache>
            </c:strRef>
          </c:tx>
          <c:explosion val="4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F60-B94E-AD74-19225AD89247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F60-B94E-AD74-19225AD89247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F60-B94E-AD74-19225AD89247}"/>
              </c:ext>
            </c:extLst>
          </c:dPt>
          <c:dPt>
            <c:idx val="3"/>
            <c:bubble3D val="0"/>
            <c:explosion val="19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9F60-B94E-AD74-19225AD89247}"/>
              </c:ext>
            </c:extLst>
          </c:dPt>
          <c:dLbls>
            <c:dLbl>
              <c:idx val="0"/>
              <c:layout>
                <c:manualLayout>
                  <c:x val="9.1027121609798881E-2"/>
                  <c:y val="0.11391185476815398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60-B94E-AD74-19225AD89247}"/>
                </c:ext>
              </c:extLst>
            </c:dLbl>
            <c:dLbl>
              <c:idx val="1"/>
              <c:layout>
                <c:manualLayout>
                  <c:x val="0.10020166229221347"/>
                  <c:y val="-6.318095654709828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F60-B94E-AD74-19225AD89247}"/>
                </c:ext>
              </c:extLst>
            </c:dLbl>
            <c:dLbl>
              <c:idx val="2"/>
              <c:layout>
                <c:manualLayout>
                  <c:x val="-5.1828958880140011E-2"/>
                  <c:y val="-1.2251385243511229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60-B94E-AD74-19225AD89247}"/>
                </c:ext>
              </c:extLst>
            </c:dLbl>
            <c:dLbl>
              <c:idx val="3"/>
              <c:layout>
                <c:manualLayout>
                  <c:x val="-0.1800734198765695"/>
                  <c:y val="0.1435839129974224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F60-B94E-AD74-19225AD89247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4285F4"/>
                </a:solidFill>
                <a:round/>
              </a:ln>
              <a:effectLst>
                <a:outerShdw blurRad="50800" dist="38100" dir="2700000" algn="tl" rotWithShape="0">
                  <a:srgbClr val="4285F4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GRAFICI!$A$3:$A$6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GRAFICI!$B$3:$B$6</c:f>
              <c:numCache>
                <c:formatCode>#,##0\ "€"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0-B94E-AD74-19225AD89247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solidFill>
          <a:schemeClr val="bg2">
            <a:lumMod val="8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660400</xdr:colOff>
      <xdr:row>0</xdr:row>
      <xdr:rowOff>12700</xdr:rowOff>
    </xdr:from>
    <xdr:to>
      <xdr:col>11</xdr:col>
      <xdr:colOff>520700</xdr:colOff>
      <xdr:row>17</xdr:row>
      <xdr:rowOff>76200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2BD7EBB-CF8D-2F46-8535-7CB1BA984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736600</xdr:colOff>
      <xdr:row>20</xdr:row>
      <xdr:rowOff>0</xdr:rowOff>
    </xdr:from>
    <xdr:to>
      <xdr:col>11</xdr:col>
      <xdr:colOff>558800</xdr:colOff>
      <xdr:row>37</xdr:row>
      <xdr:rowOff>88900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1F79ED8A-1617-BFD9-E2EA-846B3D6FF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15</xdr:row>
      <xdr:rowOff>101600</xdr:rowOff>
    </xdr:from>
    <xdr:to>
      <xdr:col>4</xdr:col>
      <xdr:colOff>1346200</xdr:colOff>
      <xdr:row>33</xdr:row>
      <xdr:rowOff>63500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D5DC07FC-8321-4E13-316F-E9E39B290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469900</xdr:colOff>
      <xdr:row>35</xdr:row>
      <xdr:rowOff>50800</xdr:rowOff>
    </xdr:from>
    <xdr:to>
      <xdr:col>4</xdr:col>
      <xdr:colOff>1320800</xdr:colOff>
      <xdr:row>52</xdr:row>
      <xdr:rowOff>127000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042C9A2-5A7F-DE62-380A-F94D1C7AA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F58FC9-A21C-154B-B373-51D838045233}" name="Tabella2" displayName="Tabella2" ref="A1:E11" totalsRowShown="0" headerRowDxfId="0">
  <autoFilter ref="A1:E11" xr:uid="{14F58FC9-A21C-154B-B373-51D838045233}"/>
  <tableColumns count="5">
    <tableColumn id="1" xr3:uid="{1BE45F9C-7A57-9D42-A890-5154C8F3BD31}" name="Azienda" dataDxfId="5"/>
    <tableColumn id="2" xr3:uid="{3621FDB9-CF7A-564A-B6FA-CEC78C91BEE0}" name="Prodotto" dataDxfId="4"/>
    <tableColumn id="3" xr3:uid="{B3E9B33A-83D2-3948-A1CF-BAF58420CFEC}" name="Quantità" dataDxfId="3"/>
    <tableColumn id="4" xr3:uid="{BE8F69A7-A09B-B046-AE41-C5834185E6A4}" name="Prezzo" dataDxfId="2"/>
    <tableColumn id="5" xr3:uid="{BE8BE5BE-6AB7-9D4B-9CF1-9ACF864D301A}" name="Totale" dataDxfId="1">
      <calculatedColumnFormula>C2*D2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334C8B-48AE-AD4D-BC7C-E5111621A320}" name="Tabella1" displayName="Tabella1" ref="A1:E12" totalsRowShown="0" headerRowDxfId="6">
  <autoFilter ref="A1:E12" xr:uid="{C1334C8B-48AE-AD4D-BC7C-E5111621A320}"/>
  <tableColumns count="5">
    <tableColumn id="1" xr3:uid="{2FA5E5F7-77A6-6E43-BFD6-DE60AA209CD8}" name="Colonna1"/>
    <tableColumn id="2" xr3:uid="{7012E65C-68DC-EF49-815A-B59151F512D7}" name="Colonna2" dataDxfId="9"/>
    <tableColumn id="3" xr3:uid="{B998FEFC-1B0E-A84E-B39C-45F7F41AA3C1}" name="Colonna3"/>
    <tableColumn id="4" xr3:uid="{2207E61B-3635-7F42-BC41-E69A8F4956D6}" name="Colonna4" dataDxfId="8"/>
    <tableColumn id="5" xr3:uid="{AC1B1BDC-9437-B749-98C1-253217E4C212}" name="Colonna5" dataDxfId="7">
      <calculatedColumnFormula>SUMIF(Prodotti!$B$2:$B$11, D2, Prodotti!$E$2:$E$11)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1"/>
  <sheetViews>
    <sheetView tabSelected="1" workbookViewId="0">
      <selection activeCell="G19" sqref="G19"/>
    </sheetView>
  </sheetViews>
  <sheetFormatPr baseColWidth="10" defaultColWidth="12.6640625" defaultRowHeight="15.75" customHeight="1" x14ac:dyDescent="0.15"/>
  <cols>
    <col min="1" max="1" width="19.6640625" customWidth="1"/>
    <col min="2" max="3" width="22.33203125" customWidth="1"/>
    <col min="4" max="4" width="24" style="2" customWidth="1"/>
    <col min="5" max="5" width="15.83203125" style="3" customWidth="1"/>
    <col min="6" max="6" width="12.6640625" customWidth="1"/>
  </cols>
  <sheetData>
    <row r="1" spans="1:26" ht="15.75" customHeight="1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26" ht="15.75" customHeight="1" x14ac:dyDescent="0.15">
      <c r="A2" s="7" t="s">
        <v>5</v>
      </c>
      <c r="B2" s="11" t="s">
        <v>6</v>
      </c>
      <c r="C2" s="8">
        <v>500</v>
      </c>
      <c r="D2" s="9">
        <v>15.75</v>
      </c>
      <c r="E2" s="11">
        <f>C2*D2</f>
        <v>7875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7" t="s">
        <v>5</v>
      </c>
      <c r="B3" s="11" t="s">
        <v>7</v>
      </c>
      <c r="C3" s="8">
        <v>1200</v>
      </c>
      <c r="D3" s="10">
        <v>8.5</v>
      </c>
      <c r="E3" s="11">
        <f t="shared" ref="E3:E11" si="0">C3*D3</f>
        <v>10200</v>
      </c>
    </row>
    <row r="4" spans="1:26" ht="15.75" customHeight="1" x14ac:dyDescent="0.15">
      <c r="A4" s="7" t="s">
        <v>8</v>
      </c>
      <c r="B4" s="11" t="s">
        <v>9</v>
      </c>
      <c r="C4" s="8">
        <v>800</v>
      </c>
      <c r="D4" s="10">
        <v>12.25</v>
      </c>
      <c r="E4" s="11">
        <f t="shared" si="0"/>
        <v>9800</v>
      </c>
    </row>
    <row r="5" spans="1:26" ht="15.75" customHeight="1" x14ac:dyDescent="0.15">
      <c r="A5" s="7" t="s">
        <v>5</v>
      </c>
      <c r="B5" s="11" t="s">
        <v>10</v>
      </c>
      <c r="C5" s="8">
        <v>300</v>
      </c>
      <c r="D5" s="10">
        <v>25</v>
      </c>
      <c r="E5" s="11">
        <f t="shared" si="0"/>
        <v>7500</v>
      </c>
    </row>
    <row r="6" spans="1:26" ht="15.75" customHeight="1" x14ac:dyDescent="0.15">
      <c r="A6" s="7" t="s">
        <v>8</v>
      </c>
      <c r="B6" s="11" t="s">
        <v>11</v>
      </c>
      <c r="C6" s="8">
        <v>1500</v>
      </c>
      <c r="D6" s="10">
        <v>6.5</v>
      </c>
      <c r="E6" s="11">
        <f t="shared" si="0"/>
        <v>9750</v>
      </c>
    </row>
    <row r="7" spans="1:26" ht="15.75" customHeight="1" x14ac:dyDescent="0.15">
      <c r="A7" s="7" t="s">
        <v>12</v>
      </c>
      <c r="B7" s="11" t="s">
        <v>13</v>
      </c>
      <c r="C7" s="8">
        <v>700</v>
      </c>
      <c r="D7" s="10">
        <v>18.75</v>
      </c>
      <c r="E7" s="11">
        <f t="shared" si="0"/>
        <v>13125</v>
      </c>
    </row>
    <row r="8" spans="1:26" ht="15.75" customHeight="1" x14ac:dyDescent="0.15">
      <c r="A8" s="7" t="s">
        <v>12</v>
      </c>
      <c r="B8" s="11" t="s">
        <v>14</v>
      </c>
      <c r="C8" s="8">
        <v>900</v>
      </c>
      <c r="D8" s="10">
        <v>14</v>
      </c>
      <c r="E8" s="11">
        <f t="shared" si="0"/>
        <v>12600</v>
      </c>
    </row>
    <row r="9" spans="1:26" ht="15.75" customHeight="1" x14ac:dyDescent="0.15">
      <c r="A9" s="7" t="s">
        <v>8</v>
      </c>
      <c r="B9" s="11" t="s">
        <v>15</v>
      </c>
      <c r="C9" s="8">
        <v>1100</v>
      </c>
      <c r="D9" s="10">
        <v>10.5</v>
      </c>
      <c r="E9" s="11">
        <f t="shared" si="0"/>
        <v>11550</v>
      </c>
    </row>
    <row r="10" spans="1:26" ht="15.75" customHeight="1" x14ac:dyDescent="0.15">
      <c r="A10" s="7" t="s">
        <v>12</v>
      </c>
      <c r="B10" s="11" t="s">
        <v>16</v>
      </c>
      <c r="C10" s="8">
        <v>600</v>
      </c>
      <c r="D10" s="10">
        <v>20</v>
      </c>
      <c r="E10" s="11">
        <f t="shared" si="0"/>
        <v>12000</v>
      </c>
    </row>
    <row r="11" spans="1:26" ht="15.75" customHeight="1" x14ac:dyDescent="0.15">
      <c r="A11" s="7" t="s">
        <v>17</v>
      </c>
      <c r="B11" s="11" t="s">
        <v>18</v>
      </c>
      <c r="C11" s="8">
        <v>1000</v>
      </c>
      <c r="D11" s="10">
        <v>13.5</v>
      </c>
      <c r="E11" s="11">
        <f t="shared" si="0"/>
        <v>13500</v>
      </c>
    </row>
  </sheetData>
  <pageMargins left="0.39370078740157483" right="0.19685039370078741" top="0.39370078740157483" bottom="0.39370078740157483" header="0.39370078740157483" footer="0.31496062992125984"/>
  <pageSetup paperSize="9" scale="88" orientation="portrait" horizontalDpi="0" verticalDpi="0"/>
  <headerFooter>
    <oddFooter>&amp;L&amp;"Arial,Normale"&amp;K000000&amp;D&amp;C&amp;"Arial,Normale"&amp;K000000SPESE RECENTI&amp;R&amp;"Arial,Normale"&amp;K000000&amp;P</oddFooter>
  </headerFooter>
  <rowBreaks count="3" manualBreakCount="3">
    <brk id="1" max="4" man="1"/>
    <brk id="12" max="16383" man="1"/>
    <brk id="13" max="16383" man="1"/>
  </rowBreaks>
  <colBreaks count="1" manualBreakCount="1">
    <brk id="1" max="1048575" man="1"/>
  </colBreak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3684-69AB-694D-8B34-59138932AB32}">
  <dimension ref="A1:E12"/>
  <sheetViews>
    <sheetView workbookViewId="0">
      <selection activeCell="O10" sqref="O10"/>
    </sheetView>
  </sheetViews>
  <sheetFormatPr baseColWidth="10" defaultRowHeight="13" x14ac:dyDescent="0.15"/>
  <cols>
    <col min="1" max="1" width="18.33203125" customWidth="1"/>
    <col min="2" max="2" width="18.33203125" style="5" customWidth="1"/>
    <col min="3" max="4" width="11.1640625" customWidth="1"/>
    <col min="5" max="5" width="17.83203125" customWidth="1"/>
  </cols>
  <sheetData>
    <row r="1" spans="1:5" x14ac:dyDescent="0.15">
      <c r="A1" s="4" t="s">
        <v>23</v>
      </c>
      <c r="B1" s="6" t="s">
        <v>24</v>
      </c>
      <c r="C1" t="s">
        <v>25</v>
      </c>
      <c r="D1" s="4" t="s">
        <v>26</v>
      </c>
      <c r="E1" s="4" t="s">
        <v>27</v>
      </c>
    </row>
    <row r="2" spans="1:5" x14ac:dyDescent="0.15">
      <c r="A2" s="4" t="s">
        <v>19</v>
      </c>
      <c r="B2" s="6" t="s">
        <v>20</v>
      </c>
      <c r="D2" s="4" t="s">
        <v>21</v>
      </c>
      <c r="E2" s="4" t="s">
        <v>22</v>
      </c>
    </row>
    <row r="3" spans="1:5" x14ac:dyDescent="0.15">
      <c r="A3" s="7" t="s">
        <v>5</v>
      </c>
      <c r="B3" s="11">
        <f>SUMIF(Prodotti!$A$2:$A$11, A3, Prodotti!$E$2:$E$11)</f>
        <v>25575</v>
      </c>
      <c r="D3" s="11" t="s">
        <v>6</v>
      </c>
      <c r="E3" s="13">
        <f>SUMIF(Prodotti!$B$2:$B$11, D3, Prodotti!$E$2:$E$11)</f>
        <v>7875</v>
      </c>
    </row>
    <row r="4" spans="1:5" x14ac:dyDescent="0.15">
      <c r="A4" s="7" t="s">
        <v>8</v>
      </c>
      <c r="B4" s="11">
        <f>SUMIF(Prodotti!$A$2:$A$11, A4, Prodotti!$E$2:$E$11)</f>
        <v>31100</v>
      </c>
      <c r="D4" s="11" t="s">
        <v>7</v>
      </c>
      <c r="E4" s="13">
        <f>SUMIF(Prodotti!$B$2:$B$11, D4, Prodotti!$E$2:$E$11)</f>
        <v>10200</v>
      </c>
    </row>
    <row r="5" spans="1:5" x14ac:dyDescent="0.15">
      <c r="A5" s="7" t="s">
        <v>12</v>
      </c>
      <c r="B5" s="11">
        <f>SUMIF(Prodotti!$A$2:$A$11, A5, Prodotti!$E$2:$E$11)</f>
        <v>37725</v>
      </c>
      <c r="D5" s="11" t="s">
        <v>9</v>
      </c>
      <c r="E5" s="13">
        <f>SUMIF(Prodotti!$B$2:$B$11, D5, Prodotti!$E$2:$E$11)</f>
        <v>9800</v>
      </c>
    </row>
    <row r="6" spans="1:5" x14ac:dyDescent="0.15">
      <c r="A6" s="7" t="s">
        <v>17</v>
      </c>
      <c r="B6" s="11">
        <f>SUMIF(Prodotti!$A$2:$A$11, A6, Prodotti!$E$2:$E$11)</f>
        <v>13500</v>
      </c>
      <c r="D6" s="11" t="s">
        <v>10</v>
      </c>
      <c r="E6" s="13">
        <f>SUMIF(Prodotti!$B$2:$B$11, D6, Prodotti!$E$2:$E$11)</f>
        <v>7500</v>
      </c>
    </row>
    <row r="7" spans="1:5" x14ac:dyDescent="0.15">
      <c r="D7" s="11" t="s">
        <v>11</v>
      </c>
      <c r="E7" s="13">
        <f>SUMIF(Prodotti!$B$2:$B$11, D7, Prodotti!$E$2:$E$11)</f>
        <v>9750</v>
      </c>
    </row>
    <row r="8" spans="1:5" x14ac:dyDescent="0.15">
      <c r="D8" s="11" t="s">
        <v>13</v>
      </c>
      <c r="E8" s="13">
        <f>SUMIF(Prodotti!$B$2:$B$11, D8, Prodotti!$E$2:$E$11)</f>
        <v>13125</v>
      </c>
    </row>
    <row r="9" spans="1:5" x14ac:dyDescent="0.15">
      <c r="D9" s="11" t="s">
        <v>14</v>
      </c>
      <c r="E9" s="13">
        <f>SUMIF(Prodotti!$B$2:$B$11, D9, Prodotti!$E$2:$E$11)</f>
        <v>12600</v>
      </c>
    </row>
    <row r="10" spans="1:5" x14ac:dyDescent="0.15">
      <c r="D10" s="11" t="s">
        <v>15</v>
      </c>
      <c r="E10" s="13">
        <f>SUMIF(Prodotti!$B$2:$B$11, D10, Prodotti!$E$2:$E$11)</f>
        <v>11550</v>
      </c>
    </row>
    <row r="11" spans="1:5" x14ac:dyDescent="0.15">
      <c r="D11" s="11" t="s">
        <v>16</v>
      </c>
      <c r="E11" s="13">
        <f>SUMIF(Prodotti!$B$2:$B$11, D11, Prodotti!$E$2:$E$11)</f>
        <v>12000</v>
      </c>
    </row>
    <row r="12" spans="1:5" x14ac:dyDescent="0.15">
      <c r="D12" s="11" t="s">
        <v>18</v>
      </c>
      <c r="E12" s="13">
        <f>SUMIF(Prodotti!$B$2:$B$11, D12, Prodotti!$E$2:$E$11)</f>
        <v>13500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0" verticalDpi="0"/>
  <headerFooter>
    <oddFooter>&amp;L&amp;"Arial,Normale"&amp;K000000&amp;D&amp;C&amp;"Arial,Normale"&amp;K000000SPESE RECENTI - ANALISI AZIENDE E PRODOTTI&amp;R&amp;"Arial,Normale"&amp;K000000&amp;P</oddFooter>
  </headerFooter>
  <rowBreaks count="1" manualBreakCount="1">
    <brk id="56" max="16383" man="1"/>
  </rowBreak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Prodotti</vt:lpstr>
      <vt:lpstr>GRAFICI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di padova</cp:lastModifiedBy>
  <cp:lastPrinted>2025-11-10T17:20:31Z</cp:lastPrinted>
  <dcterms:modified xsi:type="dcterms:W3CDTF">2025-11-12T07:54:28Z</dcterms:modified>
</cp:coreProperties>
</file>